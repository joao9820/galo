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hidePivotFieldList="1"/>
  <bookViews>
    <workbookView xWindow="0" yWindow="0" windowWidth="19440" windowHeight="13740"/>
  </bookViews>
  <sheets>
    <sheet name="Galo" sheetId="2" r:id="rId1"/>
  </sheets>
  <definedNames>
    <definedName name="_xlnm._FilterDatabase" localSheetId="0" hidden="1">Galo!$A$11:$X$28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2" l="1"/>
  <c r="M10" i="2"/>
  <c r="K10" i="2"/>
  <c r="I10" i="2"/>
  <c r="G10" i="2"/>
  <c r="C10" i="2"/>
  <c r="A10" i="2"/>
</calcChain>
</file>

<file path=xl/sharedStrings.xml><?xml version="1.0" encoding="utf-8"?>
<sst xmlns="http://schemas.openxmlformats.org/spreadsheetml/2006/main" count="327" uniqueCount="151">
  <si>
    <t>E-MAIL</t>
  </si>
  <si>
    <t>DPTO</t>
  </si>
  <si>
    <t>DATA DA SOLICITAÇÃO</t>
  </si>
  <si>
    <t>SOLICITANTE</t>
  </si>
  <si>
    <t>RAMAL</t>
  </si>
  <si>
    <t>ATENDIMENTO</t>
  </si>
  <si>
    <t>DEADLINE</t>
  </si>
  <si>
    <t>N° DO BRIEFING</t>
  </si>
  <si>
    <t>JOB</t>
  </si>
  <si>
    <t>STATUS</t>
  </si>
  <si>
    <t>DA</t>
  </si>
  <si>
    <t>REDATOR</t>
  </si>
  <si>
    <t>SUPERVISOR(A)</t>
  </si>
  <si>
    <t>ELIDA</t>
  </si>
  <si>
    <t>GIORGIA</t>
  </si>
  <si>
    <t>TATIANA</t>
  </si>
  <si>
    <t>LUCAS</t>
  </si>
  <si>
    <t>TIAGO</t>
  </si>
  <si>
    <t>GISELA</t>
  </si>
  <si>
    <t>GC</t>
  </si>
  <si>
    <t>INOVE</t>
  </si>
  <si>
    <t>NEX</t>
  </si>
  <si>
    <t>galocanta@projecao.br</t>
  </si>
  <si>
    <t>tatiana.reis@projecao.br</t>
  </si>
  <si>
    <t>gisela.pelegrinelli@projecao.br</t>
  </si>
  <si>
    <t>EXECUÇÃO</t>
  </si>
  <si>
    <t>011_2_2017</t>
  </si>
  <si>
    <t>AFMA</t>
  </si>
  <si>
    <t>CPS</t>
  </si>
  <si>
    <t>ELDA</t>
  </si>
  <si>
    <t>KARINA</t>
  </si>
  <si>
    <t>karina.fonseca@projecao.br</t>
  </si>
  <si>
    <t>NAPES</t>
  </si>
  <si>
    <t>NPA</t>
  </si>
  <si>
    <t>029_2_2017</t>
  </si>
  <si>
    <t>afma.creche412@gmail.com</t>
  </si>
  <si>
    <t>27_2_2017</t>
  </si>
  <si>
    <t>JAMILE</t>
  </si>
  <si>
    <t>PLANEJAMENTO</t>
  </si>
  <si>
    <t>9-9658-7170</t>
  </si>
  <si>
    <t>10_02_2017</t>
  </si>
  <si>
    <t>31_1_2017</t>
  </si>
  <si>
    <t>VÍDEOS REGRAS DO JOGO</t>
  </si>
  <si>
    <t>NATÃ</t>
  </si>
  <si>
    <t>DOCUMENTÁRIO GC</t>
  </si>
  <si>
    <t>13_1_2017</t>
  </si>
  <si>
    <t>ACOMPANHAMENTO DE TAREFAS - 1/2018</t>
  </si>
  <si>
    <t>3º EDIÇÃO CATALOGO NEX</t>
  </si>
  <si>
    <t>KERVIN</t>
  </si>
  <si>
    <t>DIVULGAÇÃO NPA</t>
  </si>
  <si>
    <t>001_01_2018</t>
  </si>
  <si>
    <t>CARTILHA - NAPES</t>
  </si>
  <si>
    <t>CLÍNICA MOTA</t>
  </si>
  <si>
    <t>SIV/MIV ECJUS</t>
  </si>
  <si>
    <t>APROVADO</t>
  </si>
  <si>
    <t>003_01_2018</t>
  </si>
  <si>
    <t>DIVULGAÇÃO NPJ</t>
  </si>
  <si>
    <t>NPJ</t>
  </si>
  <si>
    <t>roneide.costa@projecao.br</t>
  </si>
  <si>
    <t>RONEIDE</t>
  </si>
  <si>
    <t>002_01_2018</t>
  </si>
  <si>
    <t>ADESIVOS CEILÂNDIA</t>
  </si>
  <si>
    <t>CAMPUS CEI</t>
  </si>
  <si>
    <t>luiz.pedro@projecao.br</t>
  </si>
  <si>
    <t>99271-5687</t>
  </si>
  <si>
    <t>LUIZ AUGUSTO</t>
  </si>
  <si>
    <t>005_01_2018</t>
  </si>
  <si>
    <t>ANA LUIZA</t>
  </si>
  <si>
    <t>ana.luiza@projecao.br</t>
  </si>
  <si>
    <t>DAES</t>
  </si>
  <si>
    <t>006_01_2018</t>
  </si>
  <si>
    <t>CAIO</t>
  </si>
  <si>
    <r>
      <t xml:space="preserve"> 99658-7170      </t>
    </r>
    <r>
      <rPr>
        <b/>
        <sz val="12"/>
        <color theme="4"/>
        <rFont val="Arial"/>
        <family val="2"/>
      </rPr>
      <t>tatiana.reis@projecao.br</t>
    </r>
  </si>
  <si>
    <t>EMILY</t>
  </si>
  <si>
    <t>007_1_2018</t>
  </si>
  <si>
    <t>BANNER ECJUS</t>
  </si>
  <si>
    <t xml:space="preserve">Lelia Julia </t>
  </si>
  <si>
    <t xml:space="preserve">lelia.carvalho@projecao.br </t>
  </si>
  <si>
    <t>ECJUS</t>
  </si>
  <si>
    <t>008_1_2018</t>
  </si>
  <si>
    <t>Arte Colete “Cei”</t>
  </si>
  <si>
    <t>NOVA SIV INOVE</t>
  </si>
  <si>
    <t>010_01_2018</t>
  </si>
  <si>
    <t>TORNEIO- NPJ</t>
  </si>
  <si>
    <t>ÉLIDA</t>
  </si>
  <si>
    <t>Dalliane</t>
  </si>
  <si>
    <t>dalliane.damascena@projecao.br</t>
  </si>
  <si>
    <t>011_01_2018</t>
  </si>
  <si>
    <t>ARTE EGRESSOS - GRUPO PROJEÇÃO</t>
  </si>
  <si>
    <t>relacionamento</t>
  </si>
  <si>
    <t>012_01_2018</t>
  </si>
  <si>
    <t>WORKSHOP ACIC</t>
  </si>
  <si>
    <t>ACIC</t>
  </si>
  <si>
    <t>denilsonamaral@hotmail.com</t>
  </si>
  <si>
    <t>013_01_2018</t>
  </si>
  <si>
    <t>AULA MAGNA</t>
  </si>
  <si>
    <t>APROVADA</t>
  </si>
  <si>
    <t>ECSV</t>
  </si>
  <si>
    <t>GEÓRGIA</t>
  </si>
  <si>
    <t>georgia.oliveira@projecao.br</t>
  </si>
  <si>
    <t>014_01_2018</t>
  </si>
  <si>
    <t>FABRÍCIO SANTANA</t>
  </si>
  <si>
    <t>frederico.eleuterio@projecao.br</t>
  </si>
  <si>
    <t xml:space="preserve">PÚLPITO DE DIREITO </t>
  </si>
  <si>
    <t>LEANDRO ROLIM</t>
  </si>
  <si>
    <t>COORDENAÇÃO</t>
  </si>
  <si>
    <t>leandro3110@gmail.com</t>
  </si>
  <si>
    <t>9 9949-0514</t>
  </si>
  <si>
    <t>015_01_2018</t>
  </si>
  <si>
    <t>MESA REDONDA</t>
  </si>
  <si>
    <t>3038-6103</t>
  </si>
  <si>
    <t>016_01_2018</t>
  </si>
  <si>
    <t>CAMP.CAPTÇÃO CEILÂNDIA</t>
  </si>
  <si>
    <t>017_01_2018</t>
  </si>
  <si>
    <t>cruz.lucineide@gmail.com</t>
  </si>
  <si>
    <t>Lucineide Cruz</t>
  </si>
  <si>
    <t>018_01_2018</t>
  </si>
  <si>
    <t>ENADE 2018</t>
  </si>
  <si>
    <t>VIDEO LIVRO</t>
  </si>
  <si>
    <t>ENEG</t>
  </si>
  <si>
    <t>LUCINEIDE</t>
  </si>
  <si>
    <t>PORTIFÓLIO GC</t>
  </si>
  <si>
    <t>MARLUCIA</t>
  </si>
  <si>
    <t>SEMANA SERVIÇO SOCIAL</t>
  </si>
  <si>
    <t>Coord. Rodrigo</t>
  </si>
  <si>
    <t>rodrigo.guimarea@projecao.br</t>
  </si>
  <si>
    <t>Coord. CSPP</t>
  </si>
  <si>
    <t>BEATRIZ</t>
  </si>
  <si>
    <t>019_01_2018</t>
  </si>
  <si>
    <t>SEMANA DO MARKETING</t>
  </si>
  <si>
    <t xml:space="preserve">ÉLIDA </t>
  </si>
  <si>
    <t>020_01_2018</t>
  </si>
  <si>
    <t>CAMISA COPA</t>
  </si>
  <si>
    <t>NEY JADER</t>
  </si>
  <si>
    <t>NEY.SILVA@PROJECAO.BR</t>
  </si>
  <si>
    <t>DAF</t>
  </si>
  <si>
    <t>021_01_2018</t>
  </si>
  <si>
    <t>CAMPANHA 2ª VIA CARTEIRINHA</t>
  </si>
  <si>
    <t>TIAGO SOARES</t>
  </si>
  <si>
    <t>TIAGO.ALMEIDA@PROJECAO.BR</t>
  </si>
  <si>
    <t>ÁQUILA</t>
  </si>
  <si>
    <t>022_01_2018</t>
  </si>
  <si>
    <t>FEIRA LITERÁRIA PROJEÇÃO</t>
  </si>
  <si>
    <t>023_01_2018</t>
  </si>
  <si>
    <t>JUNIO BRAGA</t>
  </si>
  <si>
    <t>Junio.unb@gmail.com</t>
  </si>
  <si>
    <t>REVISTA ENEG</t>
  </si>
  <si>
    <t xml:space="preserve">Galo Canta </t>
  </si>
  <si>
    <t>024_01_2018</t>
  </si>
  <si>
    <t>PROCESSO SELETIVO GC</t>
  </si>
  <si>
    <t>3451-3981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</si>
</sst>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b/>
      <sz val="36"/>
      <color theme="0"/>
      <name val="Open Sans"/>
      <family val="2"/>
    </font>
    <font>
      <b/>
      <sz val="14"/>
      <color theme="0"/>
      <name val="Open Sans"/>
      <family val="2"/>
    </font>
    <font>
      <sz val="13"/>
      <name val="Verdana"/>
      <family val="2"/>
    </font>
    <font>
      <u/>
      <sz val="11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0"/>
      <name val="Open Sans"/>
      <family val="2"/>
    </font>
    <font>
      <b/>
      <sz val="14"/>
      <color theme="0"/>
      <name val="Verdana"/>
      <family val="2"/>
    </font>
    <font>
      <b/>
      <sz val="13"/>
      <color theme="0"/>
      <name val="Verdana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sz val="12"/>
      <color theme="1"/>
      <name val="Arial"/>
      <family val="2"/>
    </font>
    <font>
      <b/>
      <sz val="14"/>
      <name val="Verdana"/>
      <family val="2"/>
    </font>
    <font>
      <b/>
      <sz val="11"/>
      <name val="Verdana"/>
      <family val="2"/>
    </font>
    <font>
      <b/>
      <sz val="11"/>
      <color theme="4" tint="-0.249977111117893"/>
      <name val="Verdana"/>
      <family val="2"/>
    </font>
    <font>
      <b/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78D7"/>
      <name val="Arial"/>
      <family val="2"/>
    </font>
    <font>
      <b/>
      <sz val="12"/>
      <color rgb="FF000000"/>
      <name val="Arial"/>
      <family val="2"/>
    </font>
    <font>
      <b/>
      <sz val="12"/>
      <color theme="4"/>
      <name val="Arial"/>
      <family val="2"/>
    </font>
    <font>
      <b/>
      <sz val="11"/>
      <color theme="4" tint="-0.249977111117893"/>
      <name val="Calibri"/>
      <family val="2"/>
      <scheme val="minor"/>
    </font>
    <font>
      <b/>
      <sz val="11"/>
      <color theme="4" tint="-0.249977111117893"/>
      <name val="Arial"/>
      <family val="2"/>
    </font>
    <font>
      <b/>
      <u/>
      <sz val="11"/>
      <color theme="4" tint="-0.249977111117893"/>
      <name val="Arial"/>
      <family val="2"/>
    </font>
    <font>
      <b/>
      <u/>
      <sz val="11"/>
      <color theme="4" tint="-0.249977111117893"/>
      <name val="Calibri"/>
      <family val="2"/>
      <scheme val="minor"/>
    </font>
    <font>
      <b/>
      <sz val="13"/>
      <name val="Verdana"/>
      <family val="2"/>
    </font>
    <font>
      <b/>
      <sz val="13"/>
      <color theme="1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rgb="FFEE81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3A95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8">
    <xf numFmtId="0" fontId="0" fillId="0" borderId="0" xfId="0"/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wrapText="1"/>
    </xf>
    <xf numFmtId="14" fontId="3" fillId="5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4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49" fontId="9" fillId="3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12" fillId="3" borderId="1" xfId="0" applyFont="1" applyFill="1" applyBorder="1"/>
    <xf numFmtId="0" fontId="12" fillId="3" borderId="1" xfId="0" applyFont="1" applyFill="1" applyBorder="1" applyAlignment="1">
      <alignment horizontal="center"/>
    </xf>
    <xf numFmtId="14" fontId="10" fillId="3" borderId="1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 vertical="center"/>
    </xf>
    <xf numFmtId="0" fontId="12" fillId="3" borderId="0" xfId="0" applyFont="1" applyFill="1" applyBorder="1"/>
    <xf numFmtId="0" fontId="17" fillId="3" borderId="1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49" fontId="14" fillId="3" borderId="1" xfId="0" applyNumberFormat="1" applyFont="1" applyFill="1" applyBorder="1" applyAlignment="1">
      <alignment horizontal="center" vertical="center"/>
    </xf>
    <xf numFmtId="14" fontId="14" fillId="3" borderId="1" xfId="0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5" fillId="3" borderId="0" xfId="0" applyFont="1" applyFill="1" applyBorder="1"/>
    <xf numFmtId="0" fontId="0" fillId="3" borderId="0" xfId="0" applyFill="1" applyBorder="1"/>
    <xf numFmtId="0" fontId="2" fillId="4" borderId="1" xfId="0" applyFont="1" applyFill="1" applyBorder="1" applyAlignment="1">
      <alignment horizontal="center" vertical="center"/>
    </xf>
    <xf numFmtId="14" fontId="10" fillId="3" borderId="2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" xfId="0" applyFont="1" applyFill="1" applyBorder="1"/>
    <xf numFmtId="0" fontId="9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0" fillId="0" borderId="1" xfId="0" applyFont="1" applyBorder="1"/>
    <xf numFmtId="0" fontId="11" fillId="0" borderId="1" xfId="1" applyFont="1" applyBorder="1" applyAlignment="1">
      <alignment horizontal="center"/>
    </xf>
    <xf numFmtId="0" fontId="13" fillId="8" borderId="1" xfId="0" applyFont="1" applyFill="1" applyBorder="1" applyAlignment="1">
      <alignment horizontal="center" vertical="center"/>
    </xf>
    <xf numFmtId="14" fontId="9" fillId="3" borderId="4" xfId="0" applyNumberFormat="1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/>
    </xf>
    <xf numFmtId="14" fontId="10" fillId="6" borderId="1" xfId="0" applyNumberFormat="1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vertical="center" wrapText="1"/>
    </xf>
    <xf numFmtId="0" fontId="22" fillId="5" borderId="1" xfId="0" applyFont="1" applyFill="1" applyBorder="1" applyAlignment="1">
      <alignment horizontal="center" vertical="center"/>
    </xf>
    <xf numFmtId="0" fontId="23" fillId="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/>
    </xf>
    <xf numFmtId="0" fontId="22" fillId="0" borderId="1" xfId="0" applyFont="1" applyBorder="1"/>
    <xf numFmtId="0" fontId="22" fillId="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3" fillId="0" borderId="1" xfId="1" applyFont="1" applyBorder="1"/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1" xfId="1" applyFont="1" applyBorder="1" applyAlignment="1">
      <alignment horizontal="center"/>
    </xf>
    <xf numFmtId="0" fontId="23" fillId="3" borderId="1" xfId="1" applyFont="1" applyFill="1" applyBorder="1" applyAlignment="1">
      <alignment horizontal="center" wrapText="1"/>
    </xf>
    <xf numFmtId="0" fontId="24" fillId="3" borderId="2" xfId="1" applyFont="1" applyFill="1" applyBorder="1" applyAlignment="1">
      <alignment horizontal="center" wrapText="1"/>
    </xf>
    <xf numFmtId="0" fontId="24" fillId="3" borderId="0" xfId="1" applyFont="1" applyFill="1" applyBorder="1" applyAlignment="1">
      <alignment horizontal="center" wrapText="1"/>
    </xf>
    <xf numFmtId="0" fontId="4" fillId="5" borderId="1" xfId="1" applyFill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14" fontId="25" fillId="3" borderId="1" xfId="0" applyNumberFormat="1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14" fontId="10" fillId="3" borderId="4" xfId="0" applyNumberFormat="1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 vertical="center"/>
    </xf>
    <xf numFmtId="0" fontId="4" fillId="5" borderId="4" xfId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0" fillId="9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A2CD2"/>
      <color rgb="FFFF3300"/>
      <color rgb="FFEE8118"/>
      <color rgb="FFE2EFDA"/>
      <color rgb="FFF3A95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396875</xdr:colOff>
      <xdr:row>0</xdr:row>
      <xdr:rowOff>0</xdr:rowOff>
    </xdr:from>
    <xdr:ext cx="3317875" cy="777875"/>
    <xdr:pic>
      <xdr:nvPicPr>
        <xdr:cNvPr id="7" name="Imagem 6" descr="D:\Documents and settings\galocanta\Meus documentos\Minhas imagens\logo galo canta.png">
          <a:extLst>
            <a:ext uri="{FF2B5EF4-FFF2-40B4-BE49-F238E27FC236}">
              <a16:creationId xmlns:a16="http://schemas.microsoft.com/office/drawing/2014/main" xmlns="" id="{4134B348-E836-46B9-B0ED-44F38025BAA9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69625" y="0"/>
          <a:ext cx="3317875" cy="777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oneide.costa@projecao.br" TargetMode="External"/><Relationship Id="rId13" Type="http://schemas.openxmlformats.org/officeDocument/2006/relationships/hyperlink" Target="mailto:TIAGO.ALMEIDA@PROJECAO.BR" TargetMode="External"/><Relationship Id="rId3" Type="http://schemas.openxmlformats.org/officeDocument/2006/relationships/hyperlink" Target="mailto:gisela.pelegrinelli@projecao.br" TargetMode="External"/><Relationship Id="rId7" Type="http://schemas.openxmlformats.org/officeDocument/2006/relationships/hyperlink" Target="mailto:lelia.carvalho@projecao.br" TargetMode="External"/><Relationship Id="rId12" Type="http://schemas.openxmlformats.org/officeDocument/2006/relationships/hyperlink" Target="mailto:NEY.SILVA@PROJECAO.BR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mailto:galocanta@projecao.br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tatiana.reis@projecao.br" TargetMode="External"/><Relationship Id="rId6" Type="http://schemas.openxmlformats.org/officeDocument/2006/relationships/hyperlink" Target="mailto:ana.luiza@projecao.br" TargetMode="External"/><Relationship Id="rId11" Type="http://schemas.openxmlformats.org/officeDocument/2006/relationships/hyperlink" Target="mailto:luiz.pedro@projecao.br" TargetMode="External"/><Relationship Id="rId5" Type="http://schemas.openxmlformats.org/officeDocument/2006/relationships/hyperlink" Target="mailto:roneide.costa@projecao.br" TargetMode="External"/><Relationship Id="rId15" Type="http://schemas.openxmlformats.org/officeDocument/2006/relationships/hyperlink" Target="mailto:galocanta@projecao.br" TargetMode="External"/><Relationship Id="rId10" Type="http://schemas.openxmlformats.org/officeDocument/2006/relationships/hyperlink" Target="mailto:rodrigo.guimarea@projecao.br" TargetMode="External"/><Relationship Id="rId4" Type="http://schemas.openxmlformats.org/officeDocument/2006/relationships/hyperlink" Target="mailto:karina.fonseca@projecao.br" TargetMode="External"/><Relationship Id="rId9" Type="http://schemas.openxmlformats.org/officeDocument/2006/relationships/hyperlink" Target="tel:3879" TargetMode="External"/><Relationship Id="rId14" Type="http://schemas.openxmlformats.org/officeDocument/2006/relationships/hyperlink" Target="mailto:Junio.unb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6:X45"/>
  <sheetViews>
    <sheetView tabSelected="1" topLeftCell="B5" zoomScale="50" zoomScaleNormal="50" workbookViewId="0">
      <selection activeCell="M57" sqref="M57"/>
    </sheetView>
  </sheetViews>
  <sheetFormatPr defaultColWidth="8.85546875" defaultRowHeight="17.25"/>
  <cols>
    <col min="1" max="1" width="24.140625" style="2" customWidth="1"/>
    <col min="2" max="2" width="0.42578125" style="2" customWidth="1"/>
    <col min="3" max="3" width="29.28515625" style="2" customWidth="1"/>
    <col min="4" max="4" width="0.42578125" style="2" customWidth="1"/>
    <col min="5" max="5" width="19.7109375" style="2" customWidth="1"/>
    <col min="6" max="6" width="0.42578125" style="2" customWidth="1"/>
    <col min="7" max="7" width="48.140625" style="3" bestFit="1" customWidth="1"/>
    <col min="8" max="8" width="0.42578125" style="2" customWidth="1"/>
    <col min="9" max="9" width="20.42578125" style="2" customWidth="1"/>
    <col min="10" max="10" width="0.42578125" style="2" customWidth="1"/>
    <col min="11" max="11" width="26" style="2" customWidth="1"/>
    <col min="12" max="12" width="0.42578125" style="2" customWidth="1"/>
    <col min="13" max="13" width="17.140625" style="2" customWidth="1"/>
    <col min="14" max="14" width="0.42578125" style="2" customWidth="1"/>
    <col min="15" max="15" width="23.140625" style="2" bestFit="1" customWidth="1"/>
    <col min="16" max="16" width="0.42578125" style="1" customWidth="1"/>
    <col min="17" max="17" width="55.5703125" style="2" bestFit="1" customWidth="1"/>
    <col min="18" max="18" width="0.42578125" style="1" customWidth="1"/>
    <col min="19" max="19" width="22.7109375" style="1" customWidth="1"/>
    <col min="20" max="20" width="25.140625" style="2" customWidth="1"/>
    <col min="21" max="21" width="0.42578125" style="1" customWidth="1"/>
    <col min="22" max="22" width="23.42578125" style="2" customWidth="1"/>
    <col min="23" max="23" width="0.7109375" style="1" customWidth="1"/>
    <col min="24" max="24" width="31.42578125" style="2" customWidth="1"/>
    <col min="25" max="16384" width="8.85546875" style="1"/>
  </cols>
  <sheetData>
    <row r="6" spans="1:24" ht="15" customHeight="1">
      <c r="A6" s="84" t="s">
        <v>46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</row>
    <row r="7" spans="1:24" ht="31.5" customHeight="1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</row>
    <row r="8" spans="1:24" ht="3.75" customHeight="1">
      <c r="A8" s="13"/>
      <c r="B8" s="13"/>
      <c r="C8" s="13"/>
      <c r="D8" s="13"/>
      <c r="E8" s="13"/>
      <c r="F8" s="13"/>
      <c r="G8" s="14"/>
      <c r="H8" s="13"/>
      <c r="I8" s="13"/>
      <c r="J8" s="13"/>
      <c r="K8" s="13"/>
      <c r="L8" s="13"/>
      <c r="M8" s="13"/>
      <c r="N8" s="13"/>
      <c r="O8" s="13"/>
      <c r="P8" s="15"/>
      <c r="Q8" s="13"/>
      <c r="R8" s="15"/>
      <c r="S8" s="15"/>
      <c r="T8" s="13"/>
      <c r="U8" s="15"/>
      <c r="V8" s="13"/>
      <c r="W8" s="15"/>
      <c r="X8" s="13"/>
    </row>
    <row r="9" spans="1:24" ht="38.25" customHeight="1">
      <c r="A9" s="10" t="s">
        <v>2</v>
      </c>
      <c r="B9" s="9"/>
      <c r="C9" s="9" t="s">
        <v>3</v>
      </c>
      <c r="D9" s="9"/>
      <c r="E9" s="9" t="s">
        <v>4</v>
      </c>
      <c r="F9" s="9"/>
      <c r="G9" s="10" t="s">
        <v>0</v>
      </c>
      <c r="H9" s="9"/>
      <c r="I9" s="9" t="s">
        <v>1</v>
      </c>
      <c r="J9" s="9"/>
      <c r="K9" s="9" t="s">
        <v>5</v>
      </c>
      <c r="L9" s="9"/>
      <c r="M9" s="9" t="s">
        <v>6</v>
      </c>
      <c r="N9" s="9"/>
      <c r="O9" s="9" t="s">
        <v>7</v>
      </c>
      <c r="P9" s="41"/>
      <c r="Q9" s="9" t="s">
        <v>8</v>
      </c>
      <c r="R9" s="41"/>
      <c r="S9" s="11" t="s">
        <v>10</v>
      </c>
      <c r="T9" s="12" t="s">
        <v>11</v>
      </c>
      <c r="U9" s="41"/>
      <c r="V9" s="9" t="s">
        <v>12</v>
      </c>
      <c r="W9" s="41"/>
      <c r="X9" s="9" t="s">
        <v>9</v>
      </c>
    </row>
    <row r="10" spans="1:24" ht="37.5" hidden="1" customHeight="1" thickTop="1" thickBot="1">
      <c r="A10" s="4" t="e">
        <f>#REF!</f>
        <v>#REF!</v>
      </c>
      <c r="B10" s="5"/>
      <c r="C10" s="6" t="e">
        <f>#REF!</f>
        <v>#REF!</v>
      </c>
      <c r="D10" s="5"/>
      <c r="E10" s="7" t="e">
        <f>#REF!</f>
        <v>#REF!</v>
      </c>
      <c r="F10" s="5"/>
      <c r="G10" s="8" t="e">
        <f>#REF!</f>
        <v>#REF!</v>
      </c>
      <c r="H10" s="5"/>
      <c r="I10" s="7" t="e">
        <f>#REF!</f>
        <v>#REF!</v>
      </c>
      <c r="J10" s="5"/>
      <c r="K10" s="7" t="e">
        <f>#REF!</f>
        <v>#REF!</v>
      </c>
      <c r="L10" s="5"/>
      <c r="M10" s="7" t="e">
        <f>#REF!</f>
        <v>#REF!</v>
      </c>
      <c r="N10" s="5"/>
      <c r="O10" s="7"/>
      <c r="P10" s="5"/>
      <c r="Q10" s="7"/>
      <c r="R10" s="5"/>
      <c r="S10" s="5"/>
      <c r="T10" s="7"/>
      <c r="U10" s="5"/>
      <c r="V10" s="7"/>
      <c r="W10" s="5"/>
      <c r="X10" s="7"/>
    </row>
    <row r="11" spans="1:24" ht="18" customHeight="1">
      <c r="A11" s="55">
        <v>42977</v>
      </c>
      <c r="B11" s="56"/>
      <c r="C11" s="19" t="s">
        <v>147</v>
      </c>
      <c r="D11" s="28"/>
      <c r="E11" s="36" t="s">
        <v>150</v>
      </c>
      <c r="F11" s="28"/>
      <c r="G11" s="76" t="s">
        <v>22</v>
      </c>
      <c r="H11" s="28"/>
      <c r="I11" s="19" t="s">
        <v>19</v>
      </c>
      <c r="J11" s="28"/>
      <c r="K11" s="18" t="s">
        <v>127</v>
      </c>
      <c r="L11" s="28"/>
      <c r="M11" s="27">
        <v>43259</v>
      </c>
      <c r="N11" s="28"/>
      <c r="O11" s="19" t="s">
        <v>148</v>
      </c>
      <c r="P11" s="28"/>
      <c r="Q11" s="19" t="s">
        <v>149</v>
      </c>
      <c r="R11" s="28"/>
      <c r="S11" s="18" t="s">
        <v>48</v>
      </c>
      <c r="T11" s="20" t="s">
        <v>73</v>
      </c>
      <c r="U11" s="29"/>
      <c r="V11" s="18" t="s">
        <v>84</v>
      </c>
      <c r="W11" s="29"/>
      <c r="X11" s="46" t="s">
        <v>54</v>
      </c>
    </row>
    <row r="12" spans="1:24" ht="18" customHeight="1">
      <c r="A12" s="35">
        <v>43238</v>
      </c>
      <c r="B12" s="28"/>
      <c r="C12" s="19" t="s">
        <v>138</v>
      </c>
      <c r="D12" s="28"/>
      <c r="E12" s="19">
        <v>3877</v>
      </c>
      <c r="F12" s="28"/>
      <c r="G12" s="77" t="s">
        <v>139</v>
      </c>
      <c r="H12" s="28"/>
      <c r="I12" s="36" t="s">
        <v>21</v>
      </c>
      <c r="J12" s="28"/>
      <c r="K12" s="18" t="s">
        <v>140</v>
      </c>
      <c r="L12" s="28"/>
      <c r="M12" s="78">
        <v>43341</v>
      </c>
      <c r="N12" s="28"/>
      <c r="O12" s="79" t="s">
        <v>141</v>
      </c>
      <c r="P12" s="28"/>
      <c r="Q12" s="38" t="s">
        <v>142</v>
      </c>
      <c r="R12" s="28"/>
      <c r="S12" s="23" t="s">
        <v>48</v>
      </c>
      <c r="T12" s="18" t="s">
        <v>73</v>
      </c>
      <c r="U12" s="28"/>
      <c r="V12" s="18" t="s">
        <v>14</v>
      </c>
      <c r="W12" s="28"/>
      <c r="X12" s="46" t="s">
        <v>54</v>
      </c>
    </row>
    <row r="13" spans="1:24" ht="18" customHeight="1">
      <c r="A13" s="16">
        <v>43249</v>
      </c>
      <c r="B13" s="28"/>
      <c r="C13" s="19" t="s">
        <v>115</v>
      </c>
      <c r="D13" s="25"/>
      <c r="E13" s="36" t="s">
        <v>120</v>
      </c>
      <c r="F13" s="25"/>
      <c r="G13" s="37" t="s">
        <v>114</v>
      </c>
      <c r="H13" s="25"/>
      <c r="I13" s="18" t="s">
        <v>119</v>
      </c>
      <c r="J13" s="25"/>
      <c r="K13" s="19" t="s">
        <v>37</v>
      </c>
      <c r="L13" s="25"/>
      <c r="M13" s="35"/>
      <c r="N13" s="25"/>
      <c r="O13" s="19" t="s">
        <v>113</v>
      </c>
      <c r="P13" s="25"/>
      <c r="Q13" s="19" t="s">
        <v>118</v>
      </c>
      <c r="R13" s="25"/>
      <c r="S13" s="19" t="s">
        <v>43</v>
      </c>
      <c r="T13" s="19" t="s">
        <v>73</v>
      </c>
      <c r="U13" s="25"/>
      <c r="V13" s="18" t="s">
        <v>84</v>
      </c>
      <c r="W13" s="25"/>
      <c r="X13" s="46" t="s">
        <v>54</v>
      </c>
    </row>
    <row r="14" spans="1:24" ht="18" customHeight="1">
      <c r="A14" s="16">
        <v>43235</v>
      </c>
      <c r="B14" s="38"/>
      <c r="C14" s="22" t="s">
        <v>133</v>
      </c>
      <c r="D14" s="38"/>
      <c r="E14" s="36">
        <v>3975</v>
      </c>
      <c r="F14" s="28"/>
      <c r="G14" s="76" t="s">
        <v>134</v>
      </c>
      <c r="H14" s="38"/>
      <c r="I14" s="19" t="s">
        <v>135</v>
      </c>
      <c r="J14" s="38"/>
      <c r="K14" s="19" t="s">
        <v>127</v>
      </c>
      <c r="L14" s="38"/>
      <c r="M14" s="27">
        <v>43238</v>
      </c>
      <c r="N14" s="38"/>
      <c r="O14" s="38" t="s">
        <v>136</v>
      </c>
      <c r="P14" s="38"/>
      <c r="Q14" s="38" t="s">
        <v>137</v>
      </c>
      <c r="R14" s="38"/>
      <c r="S14" s="19" t="s">
        <v>48</v>
      </c>
      <c r="T14" s="19" t="s">
        <v>73</v>
      </c>
      <c r="U14" s="44"/>
      <c r="V14" s="18" t="s">
        <v>84</v>
      </c>
      <c r="W14" s="19"/>
      <c r="X14" s="46" t="s">
        <v>54</v>
      </c>
    </row>
    <row r="15" spans="1:24" ht="15.75" customHeight="1">
      <c r="A15" s="27"/>
      <c r="B15" s="25"/>
      <c r="C15" s="22" t="s">
        <v>122</v>
      </c>
      <c r="D15" s="21"/>
      <c r="E15" s="36"/>
      <c r="F15" s="21"/>
      <c r="G15" s="61"/>
      <c r="H15" s="21"/>
      <c r="I15" s="19" t="s">
        <v>78</v>
      </c>
      <c r="J15" s="19"/>
      <c r="K15" s="18" t="s">
        <v>43</v>
      </c>
      <c r="L15" s="25"/>
      <c r="M15" s="27">
        <v>43227</v>
      </c>
      <c r="N15" s="25"/>
      <c r="O15" s="19" t="s">
        <v>116</v>
      </c>
      <c r="P15" s="25"/>
      <c r="Q15" s="19" t="s">
        <v>123</v>
      </c>
      <c r="R15" s="25"/>
      <c r="S15" s="19" t="s">
        <v>48</v>
      </c>
      <c r="T15" s="19" t="s">
        <v>73</v>
      </c>
      <c r="U15" s="25"/>
      <c r="V15" s="18" t="s">
        <v>14</v>
      </c>
      <c r="W15" s="25"/>
      <c r="X15" s="46" t="s">
        <v>54</v>
      </c>
    </row>
    <row r="16" spans="1:24" ht="18" customHeight="1">
      <c r="A16" s="27">
        <v>43186</v>
      </c>
      <c r="B16" s="45"/>
      <c r="C16" s="19" t="s">
        <v>92</v>
      </c>
      <c r="D16" s="45"/>
      <c r="E16" s="19"/>
      <c r="F16" s="45"/>
      <c r="G16" s="66" t="s">
        <v>93</v>
      </c>
      <c r="H16" s="45"/>
      <c r="I16" s="19" t="s">
        <v>92</v>
      </c>
      <c r="J16" s="45"/>
      <c r="K16" s="27" t="s">
        <v>37</v>
      </c>
      <c r="L16" s="45"/>
      <c r="M16" s="27">
        <v>43200</v>
      </c>
      <c r="N16" s="45"/>
      <c r="O16" s="19" t="s">
        <v>90</v>
      </c>
      <c r="P16" s="45"/>
      <c r="Q16" s="19" t="s">
        <v>91</v>
      </c>
      <c r="R16" s="45"/>
      <c r="S16" s="19" t="s">
        <v>48</v>
      </c>
      <c r="T16" s="20" t="s">
        <v>73</v>
      </c>
      <c r="U16" s="45"/>
      <c r="V16" s="18" t="s">
        <v>84</v>
      </c>
      <c r="W16" s="45"/>
      <c r="X16" s="46" t="s">
        <v>54</v>
      </c>
    </row>
    <row r="17" spans="1:24" ht="15.75" customHeight="1">
      <c r="A17" s="16">
        <v>42915</v>
      </c>
      <c r="B17" s="19"/>
      <c r="C17" s="19" t="s">
        <v>14</v>
      </c>
      <c r="D17" s="19"/>
      <c r="E17" s="19">
        <v>3981</v>
      </c>
      <c r="F17" s="19"/>
      <c r="G17" s="67" t="s">
        <v>22</v>
      </c>
      <c r="H17" s="19"/>
      <c r="I17" s="19" t="s">
        <v>19</v>
      </c>
      <c r="J17" s="19"/>
      <c r="K17" s="19" t="s">
        <v>17</v>
      </c>
      <c r="L17" s="19"/>
      <c r="M17" s="27"/>
      <c r="N17" s="19"/>
      <c r="O17" s="19" t="s">
        <v>41</v>
      </c>
      <c r="P17" s="19"/>
      <c r="Q17" s="19" t="s">
        <v>42</v>
      </c>
      <c r="R17" s="19"/>
      <c r="S17" s="19" t="s">
        <v>43</v>
      </c>
      <c r="T17" s="19" t="s">
        <v>37</v>
      </c>
      <c r="U17" s="19"/>
      <c r="V17" s="18" t="s">
        <v>14</v>
      </c>
      <c r="W17" s="19"/>
      <c r="X17" s="46" t="s">
        <v>54</v>
      </c>
    </row>
    <row r="18" spans="1:24" ht="18" customHeight="1">
      <c r="A18" s="60">
        <v>43003</v>
      </c>
      <c r="B18" s="21"/>
      <c r="C18" s="22" t="s">
        <v>29</v>
      </c>
      <c r="D18" s="43"/>
      <c r="E18" s="24">
        <v>4012</v>
      </c>
      <c r="F18" s="20"/>
      <c r="G18" s="67"/>
      <c r="H18" s="20"/>
      <c r="I18" s="19" t="s">
        <v>33</v>
      </c>
      <c r="J18" s="19"/>
      <c r="K18" s="18" t="s">
        <v>17</v>
      </c>
      <c r="L18" s="19"/>
      <c r="M18" s="27"/>
      <c r="N18" s="19"/>
      <c r="O18" s="50" t="s">
        <v>34</v>
      </c>
      <c r="P18" s="19"/>
      <c r="Q18" s="50" t="s">
        <v>49</v>
      </c>
      <c r="R18" s="19"/>
      <c r="S18" s="23" t="s">
        <v>48</v>
      </c>
      <c r="T18" s="20" t="s">
        <v>37</v>
      </c>
      <c r="U18" s="19"/>
      <c r="V18" s="18" t="s">
        <v>13</v>
      </c>
      <c r="W18" s="19"/>
      <c r="X18" s="46" t="s">
        <v>54</v>
      </c>
    </row>
    <row r="19" spans="1:24" ht="18" customHeight="1">
      <c r="A19" s="16">
        <v>43152</v>
      </c>
      <c r="B19" s="43"/>
      <c r="C19" s="22" t="s">
        <v>30</v>
      </c>
      <c r="D19" s="51"/>
      <c r="E19" s="24">
        <v>3951</v>
      </c>
      <c r="F19" s="20"/>
      <c r="G19" s="64" t="s">
        <v>31</v>
      </c>
      <c r="H19" s="20"/>
      <c r="I19" s="19" t="s">
        <v>32</v>
      </c>
      <c r="J19" s="19"/>
      <c r="K19" s="18" t="s">
        <v>37</v>
      </c>
      <c r="L19" s="19"/>
      <c r="M19" s="27">
        <v>43147</v>
      </c>
      <c r="N19" s="19"/>
      <c r="O19" s="19" t="s">
        <v>50</v>
      </c>
      <c r="P19" s="19"/>
      <c r="Q19" s="19" t="s">
        <v>51</v>
      </c>
      <c r="R19" s="19"/>
      <c r="S19" s="19" t="s">
        <v>16</v>
      </c>
      <c r="T19" s="20" t="s">
        <v>37</v>
      </c>
      <c r="U19" s="19"/>
      <c r="V19" s="18" t="s">
        <v>13</v>
      </c>
      <c r="W19" s="19"/>
      <c r="X19" s="46" t="s">
        <v>54</v>
      </c>
    </row>
    <row r="20" spans="1:24" ht="18" customHeight="1">
      <c r="A20" s="27"/>
      <c r="B20" s="19"/>
      <c r="C20" s="19"/>
      <c r="D20" s="19"/>
      <c r="E20" s="19"/>
      <c r="F20" s="19"/>
      <c r="G20" s="68"/>
      <c r="H20" s="19"/>
      <c r="I20" s="19"/>
      <c r="J20" s="19"/>
      <c r="K20" s="19" t="s">
        <v>37</v>
      </c>
      <c r="L20" s="19"/>
      <c r="M20" s="27"/>
      <c r="N20" s="19"/>
      <c r="O20" s="19"/>
      <c r="P20" s="19"/>
      <c r="Q20" s="19" t="s">
        <v>53</v>
      </c>
      <c r="R20" s="19"/>
      <c r="S20" s="19" t="s">
        <v>48</v>
      </c>
      <c r="T20" s="18" t="s">
        <v>37</v>
      </c>
      <c r="U20" s="19"/>
      <c r="V20" s="18" t="s">
        <v>13</v>
      </c>
      <c r="W20" s="19"/>
      <c r="X20" s="46" t="s">
        <v>54</v>
      </c>
    </row>
    <row r="21" spans="1:24" ht="18" customHeight="1">
      <c r="A21" s="27">
        <v>43154</v>
      </c>
      <c r="B21" s="19"/>
      <c r="C21" s="22" t="s">
        <v>59</v>
      </c>
      <c r="D21" s="19"/>
      <c r="E21" s="24">
        <v>3955</v>
      </c>
      <c r="F21" s="19"/>
      <c r="G21" s="69" t="s">
        <v>58</v>
      </c>
      <c r="H21" s="19"/>
      <c r="I21" s="19" t="s">
        <v>57</v>
      </c>
      <c r="J21" s="19"/>
      <c r="K21" s="19" t="s">
        <v>37</v>
      </c>
      <c r="L21" s="19"/>
      <c r="M21" s="27">
        <v>43171</v>
      </c>
      <c r="N21" s="19"/>
      <c r="O21" s="19" t="s">
        <v>55</v>
      </c>
      <c r="P21" s="19"/>
      <c r="Q21" s="19" t="s">
        <v>56</v>
      </c>
      <c r="R21" s="19"/>
      <c r="S21" s="19" t="s">
        <v>48</v>
      </c>
      <c r="T21" s="19" t="s">
        <v>37</v>
      </c>
      <c r="U21" s="19"/>
      <c r="V21" s="19" t="s">
        <v>14</v>
      </c>
      <c r="W21" s="19"/>
      <c r="X21" s="46" t="s">
        <v>54</v>
      </c>
    </row>
    <row r="22" spans="1:24" ht="18" customHeight="1">
      <c r="A22" s="27">
        <v>43154</v>
      </c>
      <c r="B22" s="19"/>
      <c r="C22" s="19" t="s">
        <v>65</v>
      </c>
      <c r="D22" s="19"/>
      <c r="E22" s="19" t="s">
        <v>64</v>
      </c>
      <c r="F22" s="19"/>
      <c r="G22" s="70" t="s">
        <v>63</v>
      </c>
      <c r="H22" s="19"/>
      <c r="I22" s="19" t="s">
        <v>62</v>
      </c>
      <c r="J22" s="19"/>
      <c r="K22" s="19" t="s">
        <v>17</v>
      </c>
      <c r="L22" s="19"/>
      <c r="M22" s="27">
        <v>43161</v>
      </c>
      <c r="N22" s="19"/>
      <c r="O22" s="19" t="s">
        <v>60</v>
      </c>
      <c r="P22" s="19"/>
      <c r="Q22" s="19" t="s">
        <v>61</v>
      </c>
      <c r="R22" s="19"/>
      <c r="S22" s="19" t="s">
        <v>48</v>
      </c>
      <c r="T22" s="18" t="s">
        <v>37</v>
      </c>
      <c r="U22" s="19"/>
      <c r="V22" s="19" t="s">
        <v>13</v>
      </c>
      <c r="W22" s="19"/>
      <c r="X22" s="46" t="s">
        <v>54</v>
      </c>
    </row>
    <row r="23" spans="1:24" ht="18" customHeight="1">
      <c r="A23" s="16"/>
      <c r="B23" s="45"/>
      <c r="C23" s="49" t="s">
        <v>76</v>
      </c>
      <c r="D23" s="45"/>
      <c r="E23" s="50">
        <v>4027</v>
      </c>
      <c r="F23" s="45"/>
      <c r="G23" s="65" t="s">
        <v>77</v>
      </c>
      <c r="H23" s="45"/>
      <c r="I23" s="50" t="s">
        <v>78</v>
      </c>
      <c r="J23" s="45"/>
      <c r="K23" s="19" t="s">
        <v>17</v>
      </c>
      <c r="L23" s="45"/>
      <c r="M23" s="27"/>
      <c r="N23" s="45"/>
      <c r="O23" s="50" t="s">
        <v>74</v>
      </c>
      <c r="P23" s="45"/>
      <c r="Q23" s="50" t="s">
        <v>75</v>
      </c>
      <c r="R23" s="45"/>
      <c r="S23" s="23" t="s">
        <v>71</v>
      </c>
      <c r="T23" s="19" t="s">
        <v>73</v>
      </c>
      <c r="U23" s="45"/>
      <c r="V23" s="18" t="s">
        <v>14</v>
      </c>
      <c r="W23" s="45"/>
      <c r="X23" s="46" t="s">
        <v>54</v>
      </c>
    </row>
    <row r="24" spans="1:24" ht="15.75" customHeight="1">
      <c r="A24" s="48">
        <v>43164</v>
      </c>
      <c r="B24" s="45"/>
      <c r="C24" s="19" t="s">
        <v>65</v>
      </c>
      <c r="D24" s="45"/>
      <c r="E24" s="19" t="s">
        <v>64</v>
      </c>
      <c r="F24" s="45"/>
      <c r="G24" s="70" t="s">
        <v>63</v>
      </c>
      <c r="H24" s="45"/>
      <c r="I24" s="19" t="s">
        <v>62</v>
      </c>
      <c r="J24" s="45"/>
      <c r="K24" s="19" t="s">
        <v>17</v>
      </c>
      <c r="L24" s="45"/>
      <c r="M24" s="27"/>
      <c r="N24" s="45"/>
      <c r="O24" s="50" t="s">
        <v>79</v>
      </c>
      <c r="P24" s="45"/>
      <c r="Q24" s="50" t="s">
        <v>80</v>
      </c>
      <c r="R24" s="45"/>
      <c r="S24" s="23" t="s">
        <v>71</v>
      </c>
      <c r="T24" s="19" t="s">
        <v>73</v>
      </c>
      <c r="U24" s="45"/>
      <c r="V24" s="18" t="s">
        <v>14</v>
      </c>
      <c r="W24" s="45"/>
      <c r="X24" s="46" t="s">
        <v>54</v>
      </c>
    </row>
    <row r="25" spans="1:24" ht="18" customHeight="1">
      <c r="A25" s="27">
        <v>43168</v>
      </c>
      <c r="B25" s="45"/>
      <c r="C25" s="19" t="s">
        <v>59</v>
      </c>
      <c r="D25" s="45"/>
      <c r="E25" s="19">
        <v>3955</v>
      </c>
      <c r="F25" s="45"/>
      <c r="G25" s="69" t="s">
        <v>58</v>
      </c>
      <c r="H25" s="45"/>
      <c r="I25" s="19" t="s">
        <v>57</v>
      </c>
      <c r="J25" s="45"/>
      <c r="K25" s="19" t="s">
        <v>37</v>
      </c>
      <c r="L25" s="45"/>
      <c r="M25" s="27"/>
      <c r="N25" s="45"/>
      <c r="O25" s="19" t="s">
        <v>82</v>
      </c>
      <c r="P25" s="45"/>
      <c r="Q25" s="19" t="s">
        <v>83</v>
      </c>
      <c r="R25" s="45"/>
      <c r="S25" s="23" t="s">
        <v>48</v>
      </c>
      <c r="T25" s="19" t="s">
        <v>73</v>
      </c>
      <c r="U25" s="45"/>
      <c r="V25" s="18" t="s">
        <v>84</v>
      </c>
      <c r="W25" s="45"/>
      <c r="X25" s="46" t="s">
        <v>54</v>
      </c>
    </row>
    <row r="26" spans="1:24" ht="15.75" customHeight="1">
      <c r="A26" s="27">
        <v>43178</v>
      </c>
      <c r="B26" s="45"/>
      <c r="C26" s="19" t="s">
        <v>85</v>
      </c>
      <c r="D26" s="45"/>
      <c r="E26" s="53">
        <v>3879</v>
      </c>
      <c r="F26" s="45"/>
      <c r="G26" s="66" t="s">
        <v>86</v>
      </c>
      <c r="H26" s="45"/>
      <c r="I26" s="19" t="s">
        <v>89</v>
      </c>
      <c r="J26" s="45"/>
      <c r="K26" s="19" t="s">
        <v>17</v>
      </c>
      <c r="L26" s="45"/>
      <c r="M26" s="27">
        <v>43181</v>
      </c>
      <c r="N26" s="45"/>
      <c r="O26" s="17" t="s">
        <v>87</v>
      </c>
      <c r="P26" s="45"/>
      <c r="Q26" s="50" t="s">
        <v>88</v>
      </c>
      <c r="R26" s="45"/>
      <c r="S26" s="23" t="s">
        <v>48</v>
      </c>
      <c r="T26" s="19" t="s">
        <v>73</v>
      </c>
      <c r="U26" s="45"/>
      <c r="V26" s="18" t="s">
        <v>14</v>
      </c>
      <c r="W26" s="45"/>
      <c r="X26" s="46" t="s">
        <v>54</v>
      </c>
    </row>
    <row r="27" spans="1:24" ht="18" customHeight="1">
      <c r="A27" s="48">
        <v>43195</v>
      </c>
      <c r="B27" s="19"/>
      <c r="C27" s="50" t="s">
        <v>98</v>
      </c>
      <c r="D27" s="19"/>
      <c r="E27" s="50">
        <v>3912</v>
      </c>
      <c r="F27" s="19"/>
      <c r="G27" s="71" t="s">
        <v>99</v>
      </c>
      <c r="H27" s="19"/>
      <c r="I27" s="50" t="s">
        <v>97</v>
      </c>
      <c r="J27" s="19"/>
      <c r="K27" s="19" t="s">
        <v>37</v>
      </c>
      <c r="L27" s="19"/>
      <c r="M27" s="27">
        <v>43199</v>
      </c>
      <c r="N27" s="19"/>
      <c r="O27" s="50" t="s">
        <v>94</v>
      </c>
      <c r="P27" s="19"/>
      <c r="Q27" s="50" t="s">
        <v>95</v>
      </c>
      <c r="R27" s="19"/>
      <c r="S27" s="19" t="s">
        <v>16</v>
      </c>
      <c r="T27" s="19" t="s">
        <v>73</v>
      </c>
      <c r="U27" s="19"/>
      <c r="V27" s="19" t="s">
        <v>14</v>
      </c>
      <c r="W27" s="19"/>
      <c r="X27" s="46" t="s">
        <v>96</v>
      </c>
    </row>
    <row r="28" spans="1:24" ht="18.75" customHeight="1">
      <c r="A28" s="48">
        <v>43196</v>
      </c>
      <c r="B28" s="19"/>
      <c r="C28" s="50" t="s">
        <v>101</v>
      </c>
      <c r="D28" s="19"/>
      <c r="E28" s="24"/>
      <c r="F28" s="19"/>
      <c r="G28" s="71" t="s">
        <v>102</v>
      </c>
      <c r="H28" s="19"/>
      <c r="I28" s="19"/>
      <c r="J28" s="19"/>
      <c r="K28" s="19" t="s">
        <v>37</v>
      </c>
      <c r="L28" s="19"/>
      <c r="M28" s="27">
        <v>43199</v>
      </c>
      <c r="N28" s="19"/>
      <c r="O28" s="50" t="s">
        <v>100</v>
      </c>
      <c r="P28" s="19"/>
      <c r="Q28" s="50" t="s">
        <v>103</v>
      </c>
      <c r="R28" s="19"/>
      <c r="S28" s="19" t="s">
        <v>43</v>
      </c>
      <c r="T28" s="19" t="s">
        <v>73</v>
      </c>
      <c r="U28" s="19"/>
      <c r="V28" s="19" t="s">
        <v>14</v>
      </c>
      <c r="W28" s="19"/>
      <c r="X28" s="46" t="s">
        <v>96</v>
      </c>
    </row>
    <row r="29" spans="1:24" ht="18" customHeight="1">
      <c r="A29" s="27">
        <v>42915</v>
      </c>
      <c r="B29" s="19"/>
      <c r="C29" s="19" t="s">
        <v>15</v>
      </c>
      <c r="D29" s="19"/>
      <c r="E29" s="19" t="s">
        <v>39</v>
      </c>
      <c r="F29" s="19"/>
      <c r="G29" s="72" t="s">
        <v>23</v>
      </c>
      <c r="H29" s="19"/>
      <c r="I29" s="19" t="s">
        <v>20</v>
      </c>
      <c r="J29" s="19"/>
      <c r="K29" s="19" t="s">
        <v>17</v>
      </c>
      <c r="L29" s="19"/>
      <c r="M29" s="27"/>
      <c r="N29" s="19"/>
      <c r="O29" s="19" t="s">
        <v>40</v>
      </c>
      <c r="P29" s="19"/>
      <c r="Q29" s="19" t="s">
        <v>52</v>
      </c>
      <c r="R29" s="19"/>
      <c r="S29" s="19" t="s">
        <v>16</v>
      </c>
      <c r="T29" s="19" t="s">
        <v>37</v>
      </c>
      <c r="U29" s="19"/>
      <c r="V29" s="18" t="s">
        <v>14</v>
      </c>
      <c r="W29" s="45"/>
      <c r="X29" s="46" t="s">
        <v>54</v>
      </c>
    </row>
    <row r="30" spans="1:24" ht="18" customHeight="1">
      <c r="A30" s="48">
        <v>43202</v>
      </c>
      <c r="B30" s="19"/>
      <c r="C30" s="19" t="s">
        <v>104</v>
      </c>
      <c r="D30" s="19"/>
      <c r="E30" s="50" t="s">
        <v>107</v>
      </c>
      <c r="F30" s="19"/>
      <c r="G30" s="71" t="s">
        <v>106</v>
      </c>
      <c r="H30" s="19"/>
      <c r="I30" s="19" t="s">
        <v>105</v>
      </c>
      <c r="J30" s="19"/>
      <c r="K30" s="19" t="s">
        <v>37</v>
      </c>
      <c r="L30" s="19"/>
      <c r="M30" s="48">
        <v>43210</v>
      </c>
      <c r="N30" s="19"/>
      <c r="O30" s="19" t="s">
        <v>108</v>
      </c>
      <c r="P30" s="19"/>
      <c r="Q30" s="50" t="s">
        <v>109</v>
      </c>
      <c r="R30" s="19"/>
      <c r="S30" s="19" t="s">
        <v>48</v>
      </c>
      <c r="T30" s="19" t="s">
        <v>73</v>
      </c>
      <c r="U30" s="19"/>
      <c r="V30" s="18" t="s">
        <v>84</v>
      </c>
      <c r="W30" s="19"/>
      <c r="X30" s="46" t="s">
        <v>54</v>
      </c>
    </row>
    <row r="31" spans="1:24" ht="18" customHeight="1">
      <c r="A31" s="27">
        <v>43203</v>
      </c>
      <c r="B31" s="45"/>
      <c r="C31" s="19" t="s">
        <v>65</v>
      </c>
      <c r="D31" s="45"/>
      <c r="E31" s="19" t="s">
        <v>110</v>
      </c>
      <c r="F31" s="45"/>
      <c r="G31" s="73" t="s">
        <v>63</v>
      </c>
      <c r="H31" s="45"/>
      <c r="I31" s="19" t="s">
        <v>62</v>
      </c>
      <c r="J31" s="45"/>
      <c r="K31" s="19" t="s">
        <v>37</v>
      </c>
      <c r="L31" s="45"/>
      <c r="M31" s="27">
        <v>43225</v>
      </c>
      <c r="N31" s="45"/>
      <c r="O31" s="19" t="s">
        <v>111</v>
      </c>
      <c r="P31" s="45"/>
      <c r="Q31" s="19" t="s">
        <v>112</v>
      </c>
      <c r="R31" s="45"/>
      <c r="S31" s="19" t="s">
        <v>48</v>
      </c>
      <c r="T31" s="19" t="s">
        <v>73</v>
      </c>
      <c r="U31" s="45"/>
      <c r="V31" s="18" t="s">
        <v>14</v>
      </c>
      <c r="W31" s="45"/>
      <c r="X31" s="46" t="s">
        <v>54</v>
      </c>
    </row>
    <row r="32" spans="1:24" ht="17.25" customHeight="1">
      <c r="A32" s="16">
        <v>42915</v>
      </c>
      <c r="B32" s="19"/>
      <c r="C32" s="22" t="s">
        <v>18</v>
      </c>
      <c r="D32" s="19"/>
      <c r="E32" s="24">
        <v>4014</v>
      </c>
      <c r="F32" s="19"/>
      <c r="G32" s="64" t="s">
        <v>24</v>
      </c>
      <c r="H32" s="19"/>
      <c r="I32" s="19" t="s">
        <v>21</v>
      </c>
      <c r="J32" s="19"/>
      <c r="K32" s="19" t="s">
        <v>17</v>
      </c>
      <c r="L32" s="19"/>
      <c r="M32" s="27">
        <v>43220</v>
      </c>
      <c r="N32" s="19"/>
      <c r="O32" s="19" t="s">
        <v>26</v>
      </c>
      <c r="P32" s="19"/>
      <c r="Q32" s="19" t="s">
        <v>47</v>
      </c>
      <c r="R32" s="19"/>
      <c r="S32" s="23" t="s">
        <v>16</v>
      </c>
      <c r="T32" s="19" t="s">
        <v>37</v>
      </c>
      <c r="U32" s="19"/>
      <c r="V32" s="18" t="s">
        <v>14</v>
      </c>
      <c r="W32" s="45"/>
      <c r="X32" s="46" t="s">
        <v>54</v>
      </c>
    </row>
    <row r="33" spans="1:24" ht="17.25" customHeight="1">
      <c r="A33" s="48">
        <v>43159</v>
      </c>
      <c r="B33" s="19"/>
      <c r="C33" s="50" t="s">
        <v>67</v>
      </c>
      <c r="D33" s="19"/>
      <c r="E33" s="50">
        <v>3907</v>
      </c>
      <c r="F33" s="19"/>
      <c r="G33" s="65" t="s">
        <v>68</v>
      </c>
      <c r="H33" s="19"/>
      <c r="I33" s="50" t="s">
        <v>69</v>
      </c>
      <c r="J33" s="19"/>
      <c r="K33" s="19" t="s">
        <v>17</v>
      </c>
      <c r="L33" s="19"/>
      <c r="M33" s="27"/>
      <c r="N33" s="19"/>
      <c r="O33" s="50" t="s">
        <v>66</v>
      </c>
      <c r="P33" s="19"/>
      <c r="Q33" s="50" t="s">
        <v>117</v>
      </c>
      <c r="R33" s="19"/>
      <c r="S33" s="19" t="s">
        <v>71</v>
      </c>
      <c r="T33" s="19" t="s">
        <v>73</v>
      </c>
      <c r="U33" s="19"/>
      <c r="V33" s="18" t="s">
        <v>13</v>
      </c>
      <c r="W33" s="19"/>
      <c r="X33" s="46" t="s">
        <v>54</v>
      </c>
    </row>
    <row r="34" spans="1:24" ht="17.25" customHeight="1">
      <c r="A34" s="35">
        <v>43207</v>
      </c>
      <c r="B34" s="25"/>
      <c r="C34" s="19" t="s">
        <v>115</v>
      </c>
      <c r="D34" s="25"/>
      <c r="E34" s="36" t="s">
        <v>120</v>
      </c>
      <c r="F34" s="25"/>
      <c r="G34" s="37" t="s">
        <v>114</v>
      </c>
      <c r="H34" s="25"/>
      <c r="I34" s="18" t="s">
        <v>119</v>
      </c>
      <c r="J34" s="25"/>
      <c r="K34" s="19" t="s">
        <v>37</v>
      </c>
      <c r="L34" s="25"/>
      <c r="M34" s="35"/>
      <c r="N34" s="25"/>
      <c r="O34" s="19" t="s">
        <v>113</v>
      </c>
      <c r="P34" s="25"/>
      <c r="Q34" s="19" t="s">
        <v>118</v>
      </c>
      <c r="R34" s="25"/>
      <c r="S34" s="19" t="s">
        <v>43</v>
      </c>
      <c r="T34" s="19" t="s">
        <v>73</v>
      </c>
      <c r="U34" s="25"/>
      <c r="V34" s="18" t="s">
        <v>84</v>
      </c>
      <c r="W34" s="25"/>
      <c r="X34" s="46" t="s">
        <v>54</v>
      </c>
    </row>
    <row r="35" spans="1:24" ht="18" customHeight="1">
      <c r="A35" s="42">
        <v>43230</v>
      </c>
      <c r="B35" s="30"/>
      <c r="C35" s="38" t="s">
        <v>124</v>
      </c>
      <c r="D35" s="30"/>
      <c r="E35" s="38"/>
      <c r="F35" s="30"/>
      <c r="G35" s="74" t="s">
        <v>125</v>
      </c>
      <c r="H35" s="30"/>
      <c r="I35" s="38" t="s">
        <v>126</v>
      </c>
      <c r="J35" s="30"/>
      <c r="K35" s="38" t="s">
        <v>127</v>
      </c>
      <c r="L35" s="30"/>
      <c r="M35" s="59"/>
      <c r="N35" s="30"/>
      <c r="O35" s="38" t="s">
        <v>128</v>
      </c>
      <c r="P35" s="30"/>
      <c r="Q35" s="38" t="s">
        <v>129</v>
      </c>
      <c r="R35" s="30"/>
      <c r="S35" s="38" t="s">
        <v>71</v>
      </c>
      <c r="T35" s="38" t="s">
        <v>73</v>
      </c>
      <c r="U35" s="30" t="s">
        <v>130</v>
      </c>
      <c r="V35" s="18" t="s">
        <v>84</v>
      </c>
      <c r="W35" s="30"/>
      <c r="X35" s="46" t="s">
        <v>54</v>
      </c>
    </row>
    <row r="36" spans="1:24" ht="18" customHeight="1">
      <c r="A36" s="27">
        <v>43235</v>
      </c>
      <c r="B36" s="39"/>
      <c r="C36" s="19" t="s">
        <v>65</v>
      </c>
      <c r="D36" s="39"/>
      <c r="E36" s="19" t="s">
        <v>110</v>
      </c>
      <c r="F36" s="39"/>
      <c r="G36" s="75" t="s">
        <v>63</v>
      </c>
      <c r="H36" s="39"/>
      <c r="I36" s="19" t="s">
        <v>62</v>
      </c>
      <c r="J36" s="39"/>
      <c r="K36" s="19" t="s">
        <v>127</v>
      </c>
      <c r="L36" s="39"/>
      <c r="M36" s="27">
        <v>43249</v>
      </c>
      <c r="N36" s="39"/>
      <c r="O36" s="19" t="s">
        <v>131</v>
      </c>
      <c r="P36" s="40"/>
      <c r="Q36" s="19" t="s">
        <v>132</v>
      </c>
      <c r="R36" s="40"/>
      <c r="S36" s="19" t="s">
        <v>48</v>
      </c>
      <c r="T36" s="20" t="s">
        <v>73</v>
      </c>
      <c r="U36" s="40"/>
      <c r="V36" s="18" t="s">
        <v>84</v>
      </c>
      <c r="W36" s="40"/>
      <c r="X36" s="46" t="s">
        <v>54</v>
      </c>
    </row>
    <row r="37" spans="1:24">
      <c r="A37" s="13"/>
      <c r="B37" s="13"/>
      <c r="C37" s="49" t="s">
        <v>15</v>
      </c>
      <c r="D37" s="45"/>
      <c r="E37" s="52" t="s">
        <v>72</v>
      </c>
      <c r="F37" s="45"/>
      <c r="G37" s="66" t="s">
        <v>23</v>
      </c>
      <c r="H37" s="45"/>
      <c r="I37" s="19" t="s">
        <v>20</v>
      </c>
      <c r="J37" s="45"/>
      <c r="K37" s="19" t="s">
        <v>37</v>
      </c>
      <c r="L37" s="45"/>
      <c r="M37" s="48"/>
      <c r="N37" s="45"/>
      <c r="O37" s="50" t="s">
        <v>70</v>
      </c>
      <c r="P37" s="45"/>
      <c r="Q37" s="50" t="s">
        <v>81</v>
      </c>
      <c r="R37" s="45"/>
      <c r="S37" s="19" t="s">
        <v>48</v>
      </c>
      <c r="T37" s="19" t="s">
        <v>73</v>
      </c>
      <c r="U37" s="45"/>
      <c r="V37" s="18" t="s">
        <v>14</v>
      </c>
      <c r="W37" s="45"/>
      <c r="X37" s="46" t="s">
        <v>54</v>
      </c>
    </row>
    <row r="38" spans="1:24">
      <c r="C38" s="56" t="s">
        <v>144</v>
      </c>
      <c r="D38" s="28"/>
      <c r="E38" s="81">
        <v>4025</v>
      </c>
      <c r="F38" s="28"/>
      <c r="G38" s="82" t="s">
        <v>145</v>
      </c>
      <c r="H38" s="28"/>
      <c r="I38" s="56" t="s">
        <v>119</v>
      </c>
      <c r="J38" s="28"/>
      <c r="K38" s="57" t="s">
        <v>140</v>
      </c>
      <c r="L38" s="28"/>
      <c r="M38" s="80">
        <v>43266</v>
      </c>
      <c r="N38" s="28"/>
      <c r="O38" s="83" t="s">
        <v>143</v>
      </c>
      <c r="P38" s="28"/>
      <c r="Q38" s="56" t="s">
        <v>146</v>
      </c>
      <c r="R38" s="28"/>
      <c r="S38" s="56" t="s">
        <v>71</v>
      </c>
      <c r="T38" s="58" t="s">
        <v>73</v>
      </c>
      <c r="U38" s="28"/>
      <c r="V38" s="57" t="s">
        <v>84</v>
      </c>
      <c r="W38" s="28"/>
      <c r="X38" s="47" t="s">
        <v>25</v>
      </c>
    </row>
    <row r="39" spans="1:24">
      <c r="C39" s="19" t="s">
        <v>14</v>
      </c>
      <c r="D39" s="19"/>
      <c r="E39" s="24">
        <v>3981</v>
      </c>
      <c r="F39" s="19"/>
      <c r="G39" s="63" t="s">
        <v>22</v>
      </c>
      <c r="H39" s="19"/>
      <c r="I39" s="19" t="s">
        <v>19</v>
      </c>
      <c r="J39" s="19"/>
      <c r="K39" s="18" t="s">
        <v>17</v>
      </c>
      <c r="L39" s="19"/>
      <c r="M39" s="27">
        <v>43269</v>
      </c>
      <c r="N39" s="19"/>
      <c r="O39" s="19" t="s">
        <v>45</v>
      </c>
      <c r="P39" s="19"/>
      <c r="Q39" s="19" t="s">
        <v>44</v>
      </c>
      <c r="R39" s="19"/>
      <c r="S39" s="19" t="s">
        <v>43</v>
      </c>
      <c r="T39" s="18" t="s">
        <v>37</v>
      </c>
      <c r="U39" s="19"/>
      <c r="V39" s="18" t="s">
        <v>14</v>
      </c>
      <c r="W39" s="19"/>
      <c r="X39" s="47" t="s">
        <v>25</v>
      </c>
    </row>
    <row r="40" spans="1:24" ht="18">
      <c r="C40" s="34" t="s">
        <v>14</v>
      </c>
      <c r="D40" s="25"/>
      <c r="E40" s="33"/>
      <c r="F40" s="25"/>
      <c r="G40" s="62"/>
      <c r="H40" s="25"/>
      <c r="I40" s="32" t="s">
        <v>19</v>
      </c>
      <c r="J40" s="25"/>
      <c r="K40" s="31" t="s">
        <v>37</v>
      </c>
      <c r="L40" s="25"/>
      <c r="M40" s="35">
        <v>43250</v>
      </c>
      <c r="N40" s="25"/>
      <c r="O40" s="26"/>
      <c r="P40" s="25"/>
      <c r="Q40" s="19" t="s">
        <v>121</v>
      </c>
      <c r="R40" s="25"/>
      <c r="S40" s="19" t="s">
        <v>16</v>
      </c>
      <c r="T40" s="19" t="s">
        <v>73</v>
      </c>
      <c r="U40" s="25" t="s">
        <v>14</v>
      </c>
      <c r="V40" s="18" t="s">
        <v>14</v>
      </c>
      <c r="W40" s="25"/>
      <c r="X40" s="54" t="s">
        <v>25</v>
      </c>
    </row>
    <row r="41" spans="1:24">
      <c r="C41" s="85" t="s">
        <v>27</v>
      </c>
      <c r="D41" s="21"/>
      <c r="E41" s="24">
        <v>4074</v>
      </c>
      <c r="F41" s="17"/>
      <c r="G41" s="86" t="s">
        <v>35</v>
      </c>
      <c r="H41" s="17"/>
      <c r="I41" s="18" t="s">
        <v>28</v>
      </c>
      <c r="J41" s="21"/>
      <c r="K41" s="18" t="s">
        <v>17</v>
      </c>
      <c r="L41" s="21"/>
      <c r="M41" s="16"/>
      <c r="N41" s="18"/>
      <c r="O41" s="50" t="s">
        <v>36</v>
      </c>
      <c r="P41" s="18"/>
      <c r="Q41" s="19" t="s">
        <v>27</v>
      </c>
      <c r="R41" s="20"/>
      <c r="S41" s="18" t="s">
        <v>16</v>
      </c>
      <c r="T41" s="18" t="s">
        <v>37</v>
      </c>
      <c r="U41" s="20"/>
      <c r="V41" s="18" t="s">
        <v>13</v>
      </c>
      <c r="W41" s="20"/>
      <c r="X41" s="87" t="s">
        <v>38</v>
      </c>
    </row>
    <row r="42" spans="1:24">
      <c r="C42" s="13"/>
      <c r="D42" s="13"/>
      <c r="E42" s="13"/>
      <c r="F42" s="13"/>
      <c r="G42" s="14"/>
      <c r="H42" s="13"/>
      <c r="I42" s="13"/>
      <c r="J42" s="13"/>
      <c r="K42" s="13"/>
      <c r="L42" s="13"/>
      <c r="M42" s="13"/>
      <c r="N42" s="13"/>
      <c r="O42" s="13"/>
      <c r="P42" s="15"/>
      <c r="Q42" s="13"/>
      <c r="R42" s="15"/>
      <c r="S42" s="15"/>
      <c r="T42" s="13"/>
      <c r="U42" s="15"/>
      <c r="V42" s="13"/>
      <c r="W42" s="15"/>
      <c r="X42" s="13"/>
    </row>
    <row r="43" spans="1:24">
      <c r="C43" s="13"/>
      <c r="D43" s="13"/>
      <c r="E43" s="13"/>
      <c r="F43" s="13"/>
      <c r="G43" s="14"/>
      <c r="H43" s="13"/>
      <c r="I43" s="13"/>
      <c r="J43" s="13"/>
      <c r="K43" s="13"/>
      <c r="L43" s="13"/>
      <c r="M43" s="13"/>
      <c r="N43" s="13"/>
      <c r="O43" s="13"/>
      <c r="P43" s="15"/>
      <c r="Q43" s="13"/>
      <c r="R43" s="15"/>
      <c r="S43" s="15"/>
      <c r="T43" s="13"/>
      <c r="U43" s="15"/>
      <c r="V43" s="13"/>
      <c r="W43" s="15"/>
      <c r="X43" s="13"/>
    </row>
    <row r="44" spans="1:24">
      <c r="C44" s="13"/>
      <c r="D44" s="13"/>
      <c r="E44" s="13"/>
      <c r="F44" s="13"/>
      <c r="G44" s="14"/>
      <c r="H44" s="13"/>
      <c r="I44" s="13"/>
      <c r="J44" s="13"/>
      <c r="K44" s="13"/>
      <c r="L44" s="13"/>
      <c r="M44" s="13"/>
      <c r="N44" s="13"/>
      <c r="O44" s="13"/>
      <c r="P44" s="15"/>
      <c r="Q44" s="13"/>
      <c r="R44" s="15"/>
      <c r="S44" s="15"/>
      <c r="T44" s="13"/>
      <c r="U44" s="15"/>
      <c r="V44" s="13"/>
      <c r="W44" s="15"/>
      <c r="X44" s="13"/>
    </row>
    <row r="45" spans="1:24">
      <c r="C45" s="13"/>
      <c r="D45" s="13"/>
      <c r="E45" s="13"/>
      <c r="F45" s="13"/>
      <c r="G45" s="14"/>
      <c r="H45" s="13"/>
      <c r="I45" s="13"/>
      <c r="J45" s="13"/>
      <c r="K45" s="13"/>
      <c r="L45" s="13"/>
      <c r="M45" s="13">
        <v>1</v>
      </c>
      <c r="N45" s="13"/>
      <c r="O45" s="13"/>
      <c r="P45" s="15"/>
      <c r="Q45" s="13"/>
      <c r="R45" s="15"/>
      <c r="S45" s="15"/>
      <c r="T45" s="13"/>
      <c r="U45" s="15"/>
      <c r="V45" s="13"/>
      <c r="W45" s="15"/>
      <c r="X45" s="13"/>
    </row>
  </sheetData>
  <autoFilter ref="A11:X28"/>
  <sortState ref="A9:X34">
    <sortCondition descending="1" ref="X9:X34"/>
  </sortState>
  <mergeCells count="1">
    <mergeCell ref="A6:X7"/>
  </mergeCells>
  <hyperlinks>
    <hyperlink ref="G29" r:id="rId1"/>
    <hyperlink ref="G17" r:id="rId2"/>
    <hyperlink ref="G32" r:id="rId3"/>
    <hyperlink ref="G19" r:id="rId4"/>
    <hyperlink ref="G21" r:id="rId5"/>
    <hyperlink ref="G33" r:id="rId6" display="mailto:ana.luiza@projecao.br"/>
    <hyperlink ref="G23" r:id="rId7" display="mailto:lelia.carvalho@projecao.br"/>
    <hyperlink ref="G25" r:id="rId8"/>
    <hyperlink ref="E26" r:id="rId9" tooltip="3879" display="tel:3879"/>
    <hyperlink ref="G35" r:id="rId10"/>
    <hyperlink ref="G36" r:id="rId11"/>
    <hyperlink ref="G14" r:id="rId12"/>
    <hyperlink ref="G12" r:id="rId13"/>
    <hyperlink ref="G38" r:id="rId14"/>
    <hyperlink ref="G11" r:id="rId15"/>
  </hyperlinks>
  <pageMargins left="0.25" right="0.25" top="0.75" bottom="0.75" header="0.3" footer="0.3"/>
  <pageSetup paperSize="9" scale="41" orientation="landscape" horizontalDpi="300" verticalDpi="300" r:id="rId16"/>
  <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Galo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cp:lastPrinted>2018-02-26T19:42:49Z</cp:lastPrinted>
  <dcterms:created xsi:type="dcterms:W3CDTF">2016-02-10T03:22:40Z</dcterms:created>
  <dcterms:modified xsi:type="dcterms:W3CDTF">2018-06-14T20:37:13Z</dcterms:modified>
</cp:coreProperties>
</file>